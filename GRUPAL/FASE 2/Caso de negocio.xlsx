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DD\Downloads\"/>
    </mc:Choice>
  </mc:AlternateContent>
  <xr:revisionPtr revIDLastSave="0" documentId="8_{67E4B0D4-CCB7-4D26-87EE-BEE85219B413}" xr6:coauthVersionLast="47" xr6:coauthVersionMax="47" xr10:uidLastSave="{00000000-0000-0000-0000-000000000000}"/>
  <bookViews>
    <workbookView xWindow="-120" yWindow="-120" windowWidth="15600" windowHeight="11040" xr2:uid="{9A6201A8-0EE2-41C8-86BE-F5414B2185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F5" i="1"/>
  <c r="E14" i="1"/>
  <c r="F14" i="1"/>
  <c r="G14" i="1"/>
  <c r="H14" i="1"/>
  <c r="H19" i="1" s="1"/>
  <c r="E16" i="1"/>
  <c r="F16" i="1"/>
  <c r="G16" i="1"/>
  <c r="H16" i="1"/>
  <c r="F19" i="1"/>
  <c r="G19" i="1"/>
  <c r="C19" i="1"/>
  <c r="D16" i="1"/>
  <c r="D14" i="1"/>
  <c r="C14" i="1"/>
  <c r="G6" i="1"/>
  <c r="E9" i="1"/>
  <c r="F9" i="1" s="1"/>
  <c r="G9" i="1" s="1"/>
  <c r="H9" i="1" s="1"/>
  <c r="F6" i="1"/>
  <c r="E6" i="1" s="1"/>
  <c r="D6" i="1" s="1"/>
  <c r="E4" i="1" s="1"/>
  <c r="D3" i="1"/>
  <c r="D4" i="1" s="1"/>
  <c r="E5" i="1" s="1"/>
  <c r="D9" i="1" l="1"/>
  <c r="D19" i="1" s="1"/>
  <c r="H5" i="1"/>
  <c r="E8" i="1"/>
  <c r="E19" i="1" s="1"/>
  <c r="C21" i="1" l="1"/>
  <c r="D20" i="1"/>
  <c r="E20" i="1" s="1"/>
  <c r="C22" i="1"/>
</calcChain>
</file>

<file path=xl/sharedStrings.xml><?xml version="1.0" encoding="utf-8"?>
<sst xmlns="http://schemas.openxmlformats.org/spreadsheetml/2006/main" count="27" uniqueCount="27">
  <si>
    <t>CAPSTONE 2025 2DO Semestre</t>
  </si>
  <si>
    <t>ejemplo</t>
  </si>
  <si>
    <t>detallado</t>
  </si>
  <si>
    <t>Año 0</t>
  </si>
  <si>
    <t>Ingresos</t>
  </si>
  <si>
    <t>Año 1</t>
  </si>
  <si>
    <t>trx</t>
  </si>
  <si>
    <t>Comisión</t>
  </si>
  <si>
    <t>Año 2</t>
  </si>
  <si>
    <t>Egresos</t>
  </si>
  <si>
    <t>Sueldos</t>
  </si>
  <si>
    <t>Infraestructura</t>
  </si>
  <si>
    <t>Prestamo</t>
  </si>
  <si>
    <t>Telco</t>
  </si>
  <si>
    <t>WWW</t>
  </si>
  <si>
    <t>VAN</t>
  </si>
  <si>
    <t>TIR</t>
  </si>
  <si>
    <t>PayBack</t>
  </si>
  <si>
    <t>2 años</t>
  </si>
  <si>
    <t>Año 3</t>
  </si>
  <si>
    <t>Año 4</t>
  </si>
  <si>
    <t>Año 5</t>
  </si>
  <si>
    <t>Tasa Crecimiento</t>
  </si>
  <si>
    <t>Transacciones diaris</t>
  </si>
  <si>
    <t>mes</t>
  </si>
  <si>
    <t>año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</si>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</sst>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&quot;$&quot;\-#,##0.00"/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41" fontId="0" fillId="0" borderId="0" xfId="1" applyFont="1"/>
    <xf numFmtId="41" fontId="0" fillId="0" borderId="0" xfId="0" applyNumberFormat="1"/>
    <xf numFmtId="0" fontId="0" fillId="0" borderId="1" xfId="0" applyBorder="1"/>
    <xf numFmtId="9" fontId="0" fillId="0" borderId="1" xfId="2" applyFont="1" applyBorder="1"/>
    <xf numFmtId="9" fontId="0" fillId="0" borderId="1" xfId="0" applyNumberFormat="1" applyBorder="1"/>
    <xf numFmtId="41" fontId="0" fillId="0" borderId="1" xfId="0" applyNumberFormat="1" applyBorder="1"/>
    <xf numFmtId="41" fontId="0" fillId="0" borderId="1" xfId="1" applyFont="1" applyBorder="1"/>
    <xf numFmtId="0" fontId="0" fillId="0" borderId="1" xfId="0" applyFill="1" applyBorder="1"/>
    <xf numFmtId="8" fontId="0" fillId="0" borderId="1" xfId="0" applyNumberFormat="1" applyBorder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959A-2ACD-42F4-B665-8AF5109BA8CB}">
  <dimension ref="A1:I23"/>
  <sheetViews>
    <sheetView showGridLines="0" tabSelected="1" workbookViewId="0">
      <selection activeCell="K6" sqref="K6"/>
    </sheetView>
  </sheetViews>
  <sheetFormatPr baseColWidth="10" defaultRowHeight="15" x14ac:dyDescent="0.25"/>
  <cols>
    <col min="3" max="3" width="14.7109375" bestFit="1" customWidth="1"/>
    <col min="4" max="4" width="11.7109375" bestFit="1" customWidth="1"/>
    <col min="5" max="5" width="12" bestFit="1" customWidth="1"/>
  </cols>
  <sheetData>
    <row r="1" spans="1:9" ht="31.5" x14ac:dyDescent="0.5">
      <c r="A1" s="10" t="s">
        <v>0</v>
      </c>
    </row>
    <row r="2" spans="1:9" ht="26.25" x14ac:dyDescent="0.4">
      <c r="A2" s="11" t="s">
        <v>1</v>
      </c>
      <c r="C2" t="s">
        <v>23</v>
      </c>
      <c r="D2">
        <v>15</v>
      </c>
    </row>
    <row r="3" spans="1:9" ht="21" x14ac:dyDescent="0.35">
      <c r="A3" s="12" t="s">
        <v>2</v>
      </c>
      <c r="B3" t="s">
        <v>24</v>
      </c>
      <c r="C3">
        <v>30</v>
      </c>
      <c r="D3">
        <f>+D2*C3</f>
        <v>450</v>
      </c>
    </row>
    <row r="4" spans="1:9" x14ac:dyDescent="0.25">
      <c r="B4" t="s">
        <v>25</v>
      </c>
      <c r="C4">
        <v>12</v>
      </c>
      <c r="D4">
        <f>+D3*C4</f>
        <v>5400</v>
      </c>
      <c r="E4">
        <f>+D6/C4</f>
        <v>40000</v>
      </c>
    </row>
    <row r="5" spans="1:9" x14ac:dyDescent="0.25">
      <c r="C5" t="s">
        <v>6</v>
      </c>
      <c r="D5">
        <v>60000</v>
      </c>
      <c r="E5" s="1">
        <f>+D5*D4</f>
        <v>324000000</v>
      </c>
      <c r="F5">
        <f>+E5*0.06</f>
        <v>19440000</v>
      </c>
      <c r="G5" s="1">
        <f>+F5*0.6</f>
        <v>11664000</v>
      </c>
      <c r="H5">
        <f>+G5/12</f>
        <v>972000</v>
      </c>
    </row>
    <row r="6" spans="1:9" x14ac:dyDescent="0.25">
      <c r="D6">
        <f>+E6/D5</f>
        <v>480000</v>
      </c>
      <c r="E6">
        <f>+F6*20</f>
        <v>28800000000</v>
      </c>
      <c r="F6">
        <f>+G6/0.05</f>
        <v>1440000000</v>
      </c>
      <c r="G6" s="1">
        <f>+H6*12</f>
        <v>72000000</v>
      </c>
      <c r="H6">
        <v>6000000</v>
      </c>
    </row>
    <row r="7" spans="1:9" x14ac:dyDescent="0.25">
      <c r="B7" s="3"/>
      <c r="C7" s="3" t="s">
        <v>3</v>
      </c>
      <c r="D7" s="3" t="s">
        <v>5</v>
      </c>
      <c r="E7" s="3" t="s">
        <v>8</v>
      </c>
      <c r="F7" s="3" t="s">
        <v>19</v>
      </c>
      <c r="G7" s="3" t="s">
        <v>20</v>
      </c>
      <c r="H7" s="3" t="s">
        <v>21</v>
      </c>
    </row>
    <row r="8" spans="1:9" x14ac:dyDescent="0.25">
      <c r="B8" s="3" t="s">
        <v>4</v>
      </c>
      <c r="C8" s="3" t="s">
        <v>22</v>
      </c>
      <c r="D8" s="3"/>
      <c r="E8" s="4">
        <f>+E9/D9</f>
        <v>6.1728395061728394</v>
      </c>
      <c r="F8" s="5">
        <v>0.1</v>
      </c>
      <c r="G8" s="3"/>
      <c r="H8" s="3"/>
    </row>
    <row r="9" spans="1:9" x14ac:dyDescent="0.25">
      <c r="B9" s="3" t="s">
        <v>7</v>
      </c>
      <c r="C9" s="3"/>
      <c r="D9" s="6">
        <f>+G5</f>
        <v>11664000</v>
      </c>
      <c r="E9" s="7">
        <f>+G6</f>
        <v>72000000</v>
      </c>
      <c r="F9" s="7">
        <f>+E9*1.1</f>
        <v>79200000</v>
      </c>
      <c r="G9" s="7">
        <f>+F9*1.1</f>
        <v>87120000</v>
      </c>
      <c r="H9" s="7">
        <f>+G9*1.1</f>
        <v>95832000.000000015</v>
      </c>
      <c r="I9" s="1"/>
    </row>
    <row r="10" spans="1:9" x14ac:dyDescent="0.25">
      <c r="B10" s="3"/>
      <c r="C10" s="3"/>
      <c r="D10" s="3"/>
      <c r="E10" s="3"/>
      <c r="F10" s="3"/>
      <c r="G10" s="3"/>
      <c r="H10" s="3"/>
    </row>
    <row r="11" spans="1:9" x14ac:dyDescent="0.25">
      <c r="B11" s="3"/>
      <c r="C11" s="3"/>
      <c r="D11" s="3"/>
      <c r="E11" s="3"/>
      <c r="F11" s="3"/>
      <c r="G11" s="3"/>
      <c r="H11" s="3"/>
    </row>
    <row r="12" spans="1:9" x14ac:dyDescent="0.25">
      <c r="B12" s="3" t="s">
        <v>9</v>
      </c>
      <c r="C12" s="3"/>
      <c r="D12" s="3"/>
      <c r="E12" s="3"/>
      <c r="F12" s="3"/>
      <c r="G12" s="3"/>
      <c r="H12" s="3"/>
    </row>
    <row r="13" spans="1:9" x14ac:dyDescent="0.25">
      <c r="B13" s="3"/>
      <c r="C13" s="3"/>
      <c r="D13" s="3"/>
      <c r="E13" s="3"/>
      <c r="F13" s="3"/>
      <c r="G13" s="3"/>
      <c r="H13" s="3"/>
    </row>
    <row r="14" spans="1:9" x14ac:dyDescent="0.25">
      <c r="B14" s="3" t="s">
        <v>10</v>
      </c>
      <c r="C14" s="7">
        <f>-(1650000*4)</f>
        <v>-6600000</v>
      </c>
      <c r="D14" s="7">
        <f>-(1650000*12)</f>
        <v>-19800000</v>
      </c>
      <c r="E14" s="7">
        <f t="shared" ref="E14:H14" si="0">-(1650000*12)</f>
        <v>-19800000</v>
      </c>
      <c r="F14" s="7">
        <f t="shared" si="0"/>
        <v>-19800000</v>
      </c>
      <c r="G14" s="7">
        <f t="shared" si="0"/>
        <v>-19800000</v>
      </c>
      <c r="H14" s="7">
        <f t="shared" si="0"/>
        <v>-19800000</v>
      </c>
    </row>
    <row r="15" spans="1:9" x14ac:dyDescent="0.25">
      <c r="B15" s="3" t="s">
        <v>11</v>
      </c>
      <c r="C15" s="3">
        <v>0</v>
      </c>
      <c r="D15" s="3">
        <v>-30000</v>
      </c>
      <c r="E15" s="3">
        <v>-29999</v>
      </c>
      <c r="F15" s="3">
        <v>-29998</v>
      </c>
      <c r="G15" s="3">
        <v>-29997</v>
      </c>
      <c r="H15" s="3">
        <v>-29996</v>
      </c>
    </row>
    <row r="16" spans="1:9" x14ac:dyDescent="0.25">
      <c r="B16" s="3" t="s">
        <v>12</v>
      </c>
      <c r="C16" s="3"/>
      <c r="D16" s="7">
        <f>-(850000*12)</f>
        <v>-10200000</v>
      </c>
      <c r="E16" s="7">
        <f t="shared" ref="E16:H16" si="1">-(850000*12)</f>
        <v>-10200000</v>
      </c>
      <c r="F16" s="7">
        <f t="shared" si="1"/>
        <v>-10200000</v>
      </c>
      <c r="G16" s="7">
        <f t="shared" si="1"/>
        <v>-10200000</v>
      </c>
      <c r="H16" s="7">
        <f t="shared" si="1"/>
        <v>-10200000</v>
      </c>
    </row>
    <row r="17" spans="2:8" x14ac:dyDescent="0.25">
      <c r="B17" s="3" t="s">
        <v>13</v>
      </c>
      <c r="C17" s="3"/>
      <c r="D17" s="3"/>
      <c r="E17" s="3"/>
      <c r="F17" s="3"/>
      <c r="G17" s="3"/>
      <c r="H17" s="3"/>
    </row>
    <row r="18" spans="2:8" x14ac:dyDescent="0.25">
      <c r="B18" s="3" t="s">
        <v>14</v>
      </c>
      <c r="C18" s="7">
        <v>-10000</v>
      </c>
      <c r="D18" s="7">
        <v>-10000</v>
      </c>
      <c r="E18" s="7">
        <v>-9999</v>
      </c>
      <c r="F18" s="7">
        <v>-9998</v>
      </c>
      <c r="G18" s="7">
        <v>-9997</v>
      </c>
      <c r="H18" s="7">
        <v>-9996</v>
      </c>
    </row>
    <row r="19" spans="2:8" x14ac:dyDescent="0.25">
      <c r="B19" s="8" t="s">
        <v>26</v>
      </c>
      <c r="C19" s="7">
        <f>SUM(C8:C18)</f>
        <v>-6610000</v>
      </c>
      <c r="D19" s="7">
        <f t="shared" ref="D19:I19" si="2">SUM(D8:D18)</f>
        <v>-18376000</v>
      </c>
      <c r="E19" s="7">
        <f t="shared" si="2"/>
        <v>41960008.172839507</v>
      </c>
      <c r="F19" s="7">
        <f t="shared" si="2"/>
        <v>49160004.099999994</v>
      </c>
      <c r="G19" s="7">
        <f t="shared" si="2"/>
        <v>57080006</v>
      </c>
      <c r="H19" s="7">
        <f t="shared" si="2"/>
        <v>65792008.000000015</v>
      </c>
    </row>
    <row r="20" spans="2:8" x14ac:dyDescent="0.25">
      <c r="D20" s="2">
        <f>+D19+C19</f>
        <v>-24986000</v>
      </c>
      <c r="E20" s="2">
        <f>+E19+D20</f>
        <v>16974008.172839507</v>
      </c>
    </row>
    <row r="21" spans="2:8" x14ac:dyDescent="0.25">
      <c r="B21" s="3" t="s">
        <v>15</v>
      </c>
      <c r="C21" s="9">
        <f>NPV(10%,C19:H19)</f>
        <v>116486317.85134652</v>
      </c>
    </row>
    <row r="22" spans="2:8" x14ac:dyDescent="0.25">
      <c r="B22" s="3" t="s">
        <v>16</v>
      </c>
      <c r="C22" s="5">
        <f>IRR(C19:H19)</f>
        <v>1.3309863392379429</v>
      </c>
    </row>
    <row r="23" spans="2:8" x14ac:dyDescent="0.25">
      <c r="B23" s="3" t="s">
        <v>17</v>
      </c>
      <c r="C23" s="3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SSDD</dc:creator>
  <cp:lastModifiedBy>SSDD</cp:lastModifiedBy>
  <dcterms:created xsi:type="dcterms:W3CDTF">2025-10-10T22:26:29Z</dcterms:created>
  <dcterms:modified xsi:type="dcterms:W3CDTF">2025-10-10T23:38:49Z</dcterms:modified>
</cp:coreProperties>
</file>